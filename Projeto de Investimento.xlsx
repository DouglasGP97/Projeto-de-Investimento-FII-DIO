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ff3b76d8270877/Documentos/Cursos e Certificados/Cursos em andamento/DIO - SANTANDER/Excel com Inteligência Artificial/Desafio de Projeto - Criando uma Ferramenta de Controle de Investimentos com Excel/"/>
    </mc:Choice>
  </mc:AlternateContent>
  <xr:revisionPtr revIDLastSave="577" documentId="8_{D4090D0D-1E44-4A86-B99A-36DEA43431A7}" xr6:coauthVersionLast="47" xr6:coauthVersionMax="47" xr10:uidLastSave="{C29DB2F2-400A-44EA-A1DA-3A42511F8877}"/>
  <bookViews>
    <workbookView xWindow="-110" yWindow="-110" windowWidth="19420" windowHeight="10300" tabRatio="105" xr2:uid="{48DF8884-EFD8-4FA3-9FF1-64B654FC3C68}"/>
  </bookViews>
  <sheets>
    <sheet name="APP" sheetId="1" r:id="rId1"/>
    <sheet name="Planilha Chave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7" i="1"/>
  <c r="C38" i="1"/>
  <c r="C39" i="1"/>
  <c r="C40" i="1"/>
  <c r="C41" i="1"/>
  <c r="C36" i="1"/>
  <c r="H4" i="2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33" i="1"/>
  <c r="D20" i="1"/>
  <c r="D21" i="1" s="1"/>
  <c r="D37" i="1" l="1"/>
  <c r="D38" i="1"/>
  <c r="D42" i="1" s="1"/>
  <c r="D39" i="1"/>
  <c r="D40" i="1"/>
  <c r="D41" i="1"/>
  <c r="D36" i="1"/>
  <c r="C24" i="1"/>
  <c r="D24" i="1" s="1"/>
  <c r="C28" i="1"/>
  <c r="D28" i="1" s="1"/>
  <c r="C25" i="1"/>
  <c r="D25" i="1" s="1"/>
  <c r="C26" i="1"/>
  <c r="D26" i="1" s="1"/>
  <c r="C27" i="1"/>
  <c r="D27" i="1" s="1"/>
</calcChain>
</file>

<file path=xl/sharedStrings.xml><?xml version="1.0" encoding="utf-8"?>
<sst xmlns="http://schemas.openxmlformats.org/spreadsheetml/2006/main" count="72" uniqueCount="35">
  <si>
    <t>Quanto investir por mês?</t>
  </si>
  <si>
    <t>Por quantos Anos?</t>
  </si>
  <si>
    <t>Taxa de Rendimento mensal?</t>
  </si>
  <si>
    <t>Dividendos Mensais?</t>
  </si>
  <si>
    <t>Quanto em 2 Anos?</t>
  </si>
  <si>
    <t>Quanto em 5 Anos?</t>
  </si>
  <si>
    <t>Quanto em 20 Anos?</t>
  </si>
  <si>
    <t>Quanto em 10 Anos?</t>
  </si>
  <si>
    <t>Quanto em 30 Anos?</t>
  </si>
  <si>
    <t>Cenários</t>
  </si>
  <si>
    <t>Dividendo</t>
  </si>
  <si>
    <t>Rendimento Carteira</t>
  </si>
  <si>
    <t>Salário</t>
  </si>
  <si>
    <t>Patrimônio Acumulado?</t>
  </si>
  <si>
    <t>INVESTIMENTO MENSAL</t>
  </si>
  <si>
    <t>CONFIGURAÇÕES</t>
  </si>
  <si>
    <t>Consevador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</si>
  <si>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</si>
  <si>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</si>
  <si>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</si>
  <si>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</si>
  <si>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</si>
  <si>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</si>
  <si>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</si>
  <si>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</si>
  <si>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FOFIS</t>
  </si>
  <si>
    <t>DESENVOLVIMENTO</t>
  </si>
  <si>
    <t>HOTELARIAS</t>
  </si>
  <si>
    <t>TOTAL</t>
  </si>
  <si>
    <t>%</t>
  </si>
  <si>
    <t>Moderado</t>
  </si>
  <si>
    <t>CHAVE COMPOSTA</t>
  </si>
  <si>
    <t>Agressivo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</si>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</sst>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20"/>
      <color theme="0"/>
      <name val="Segoe UI Semibold"/>
      <family val="2"/>
    </font>
    <font>
      <b/>
      <sz val="11"/>
      <color theme="0"/>
      <name val="Segoe UI Semibold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5" borderId="0" applyNumberFormat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indent="3"/>
    </xf>
    <xf numFmtId="164" fontId="9" fillId="6" borderId="4" xfId="0" applyNumberFormat="1" applyFont="1" applyFill="1" applyBorder="1" applyAlignment="1">
      <alignment horizontal="center"/>
    </xf>
    <xf numFmtId="164" fontId="9" fillId="6" borderId="7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left" indent="3"/>
    </xf>
    <xf numFmtId="164" fontId="9" fillId="6" borderId="5" xfId="0" applyNumberFormat="1" applyFont="1" applyFill="1" applyBorder="1" applyAlignment="1">
      <alignment horizontal="center"/>
    </xf>
    <xf numFmtId="164" fontId="9" fillId="6" borderId="9" xfId="0" applyNumberFormat="1" applyFont="1" applyFill="1" applyBorder="1" applyAlignment="1">
      <alignment horizontal="center"/>
    </xf>
    <xf numFmtId="0" fontId="7" fillId="6" borderId="10" xfId="0" applyFont="1" applyFill="1" applyBorder="1" applyAlignment="1">
      <alignment horizontal="left" indent="3"/>
    </xf>
    <xf numFmtId="164" fontId="9" fillId="6" borderId="11" xfId="0" applyNumberFormat="1" applyFont="1" applyFill="1" applyBorder="1" applyAlignment="1">
      <alignment horizontal="center"/>
    </xf>
    <xf numFmtId="164" fontId="9" fillId="6" borderId="12" xfId="0" applyNumberFormat="1" applyFont="1" applyFill="1" applyBorder="1" applyAlignment="1">
      <alignment horizontal="center"/>
    </xf>
    <xf numFmtId="164" fontId="9" fillId="0" borderId="15" xfId="1" applyNumberFormat="1" applyFont="1" applyBorder="1" applyAlignment="1">
      <alignment horizontal="center"/>
    </xf>
    <xf numFmtId="10" fontId="9" fillId="0" borderId="18" xfId="0" applyNumberFormat="1" applyFont="1" applyBorder="1" applyAlignment="1">
      <alignment horizontal="center"/>
    </xf>
    <xf numFmtId="8" fontId="9" fillId="6" borderId="21" xfId="1" applyNumberFormat="1" applyFont="1" applyFill="1" applyBorder="1" applyAlignment="1">
      <alignment horizontal="center"/>
    </xf>
    <xf numFmtId="164" fontId="10" fillId="0" borderId="15" xfId="1" applyNumberFormat="1" applyFont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10" fontId="10" fillId="0" borderId="18" xfId="0" applyNumberFormat="1" applyFont="1" applyBorder="1" applyAlignment="1">
      <alignment horizontal="center"/>
    </xf>
    <xf numFmtId="164" fontId="10" fillId="3" borderId="18" xfId="0" applyNumberFormat="1" applyFont="1" applyFill="1" applyBorder="1" applyAlignment="1">
      <alignment horizontal="center"/>
    </xf>
    <xf numFmtId="164" fontId="10" fillId="3" borderId="21" xfId="0" applyNumberFormat="1" applyFont="1" applyFill="1" applyBorder="1" applyAlignment="1">
      <alignment horizontal="center"/>
    </xf>
    <xf numFmtId="0" fontId="4" fillId="5" borderId="0" xfId="2"/>
    <xf numFmtId="0" fontId="0" fillId="6" borderId="0" xfId="0" applyFill="1"/>
    <xf numFmtId="0" fontId="2" fillId="6" borderId="0" xfId="0" applyFont="1" applyFill="1"/>
    <xf numFmtId="164" fontId="2" fillId="6" borderId="0" xfId="0" applyNumberFormat="1" applyFont="1" applyFill="1" applyAlignment="1">
      <alignment horizontal="center"/>
    </xf>
    <xf numFmtId="9" fontId="0" fillId="0" borderId="0" xfId="0" applyNumberFormat="1"/>
    <xf numFmtId="0" fontId="11" fillId="5" borderId="0" xfId="2" applyFont="1"/>
    <xf numFmtId="0" fontId="11" fillId="5" borderId="0" xfId="2" applyFont="1" applyAlignment="1">
      <alignment horizontal="center"/>
    </xf>
    <xf numFmtId="0" fontId="0" fillId="7" borderId="0" xfId="0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/>
    <xf numFmtId="164" fontId="0" fillId="8" borderId="0" xfId="0" applyNumberFormat="1" applyFill="1"/>
    <xf numFmtId="0" fontId="0" fillId="0" borderId="22" xfId="0" applyBorder="1"/>
    <xf numFmtId="0" fontId="0" fillId="0" borderId="22" xfId="0" applyBorder="1" applyAlignment="1">
      <alignment horizontal="center"/>
    </xf>
    <xf numFmtId="9" fontId="0" fillId="0" borderId="0" xfId="0" applyNumberFormat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9" fontId="4" fillId="5" borderId="0" xfId="3" applyFont="1" applyFill="1"/>
    <xf numFmtId="0" fontId="3" fillId="9" borderId="0" xfId="0" applyFont="1" applyFill="1"/>
    <xf numFmtId="0" fontId="3" fillId="9" borderId="0" xfId="0" applyFont="1" applyFill="1" applyAlignment="1">
      <alignment horizontal="center"/>
    </xf>
    <xf numFmtId="0" fontId="7" fillId="6" borderId="13" xfId="0" applyFont="1" applyFill="1" applyBorder="1" applyAlignment="1">
      <alignment horizontal="left" indent="3"/>
    </xf>
    <xf numFmtId="0" fontId="7" fillId="6" borderId="14" xfId="0" applyFont="1" applyFill="1" applyBorder="1" applyAlignment="1">
      <alignment horizontal="left" indent="3"/>
    </xf>
    <xf numFmtId="0" fontId="7" fillId="6" borderId="16" xfId="0" applyFont="1" applyFill="1" applyBorder="1" applyAlignment="1">
      <alignment horizontal="left" indent="3"/>
    </xf>
    <xf numFmtId="0" fontId="7" fillId="6" borderId="17" xfId="0" applyFont="1" applyFill="1" applyBorder="1" applyAlignment="1">
      <alignment horizontal="left" indent="3"/>
    </xf>
    <xf numFmtId="0" fontId="7" fillId="6" borderId="19" xfId="0" applyFont="1" applyFill="1" applyBorder="1" applyAlignment="1">
      <alignment horizontal="left" indent="3"/>
    </xf>
    <xf numFmtId="0" fontId="7" fillId="6" borderId="20" xfId="0" applyFont="1" applyFill="1" applyBorder="1" applyAlignment="1">
      <alignment horizontal="left" indent="3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left" indent="3"/>
    </xf>
    <xf numFmtId="0" fontId="8" fillId="3" borderId="17" xfId="0" applyFont="1" applyFill="1" applyBorder="1" applyAlignment="1">
      <alignment horizontal="left" indent="3"/>
    </xf>
    <xf numFmtId="0" fontId="8" fillId="3" borderId="19" xfId="0" applyFont="1" applyFill="1" applyBorder="1" applyAlignment="1">
      <alignment horizontal="left" indent="3"/>
    </xf>
    <xf numFmtId="0" fontId="8" fillId="3" borderId="20" xfId="0" applyFont="1" applyFill="1" applyBorder="1" applyAlignment="1">
      <alignment horizontal="left" indent="3"/>
    </xf>
    <xf numFmtId="0" fontId="5" fillId="2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2" builtinId="28"/>
    <cellStyle name="Normal" xfId="0" builtinId="0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90-48E5-A4A9-72358F2937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90-48E5-A4A9-72358F2937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90-48E5-A4A9-72358F2937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F90-48E5-A4A9-72358F2937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F90-48E5-A4A9-72358F2937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F90-48E5-A4A9-72358F2937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FOFIS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A-434F-B34C-D586A964EC7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273050</xdr:colOff>
      <xdr:row>0</xdr:row>
      <xdr:rowOff>12700</xdr:rowOff>
    </xdr:from>
    <xdr:to>
      <xdr:col>4</xdr:col>
      <xdr:colOff>213783</xdr:colOff>
      <xdr:row>9</xdr:row>
      <xdr:rowOff>120650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A8BFF87-CC8E-9541-9473-CFB6B8F4A8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100" b="46000" l="8950" r="87550">
                      <a14:foregroundMark x1="34000" y1="21900" x2="50250" y2="21800"/>
                      <a14:foregroundMark x1="50250" y1="21800" x2="73300" y2="22300"/>
                      <a14:foregroundMark x1="73300" y1="22300" x2="83600" y2="21600"/>
                      <a14:foregroundMark x1="86527" y1="20237" x2="86750" y2="21800"/>
                      <a14:foregroundMark x1="87000" y1="21236" x2="86250" y2="23300"/>
                      <a14:foregroundMark x1="84400" y1="23550" x2="84400" y2="23550"/>
                      <a14:backgroundMark x1="87700" y1="20100" x2="87600" y2="20500"/>
                      <a14:backgroundMark x1="87600" y1="19850" x2="87750" y2="211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686" t="14089" r="12146" b="70689"/>
        <a:stretch>
          <a:fillRect/>
        </a:stretch>
      </xdr:blipFill>
      <xdr:spPr>
        <a:xfrm>
          <a:off x="273050" y="12700"/>
          <a:ext cx="6669617" cy="17272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169333</xdr:rowOff>
    </xdr:from>
    <xdr:to>
      <xdr:col>4</xdr:col>
      <xdr:colOff>16933</xdr:colOff>
      <xdr:row>57</xdr:row>
      <xdr:rowOff>118533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66FCBA-808D-34AB-DF68-9E9064C4C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98BF-E217-4959-B6EF-69F5D865F7B0}">
  <dimension ref="A10:H71"/>
  <sheetViews>
    <sheetView showGridLines="0" showRowColHeaders="0" tabSelected="1" zoomScale="75" zoomScaleNormal="75" workbookViewId="0">
      <selection activeCell="D19" sqref="D19"/>
    </sheetView>
  </sheetViews>
  <sheetFormatPr defaultColWidth="0" defaultRowHeight="14.5" x14ac:dyDescent="0.35"/>
  <cols>
    <col min="1" max="1" width="7.7265625" customWidth="1"/>
    <col min="2" max="2" width="47.08984375" customWidth="1"/>
    <col min="3" max="3" width="25" customWidth="1"/>
    <col min="4" max="4" width="16.453125" customWidth="1"/>
    <col min="5" max="5" width="4.7265625" customWidth="1"/>
    <col min="6" max="6" width="3.36328125" customWidth="1"/>
    <col min="7" max="8" width="11.08984375" customWidth="1"/>
    <col min="9" max="16384" width="11.08984375" hidden="1"/>
  </cols>
  <sheetData>
    <row r="10" spans="2:4" ht="15" thickBot="1" x14ac:dyDescent="0.4"/>
    <row r="11" spans="2:4" ht="30" customHeight="1" x14ac:dyDescent="0.35">
      <c r="B11" s="46" t="s">
        <v>15</v>
      </c>
      <c r="C11" s="47"/>
      <c r="D11" s="48"/>
    </row>
    <row r="12" spans="2:4" ht="17.5" x14ac:dyDescent="0.45">
      <c r="B12" s="40" t="s">
        <v>12</v>
      </c>
      <c r="C12" s="41"/>
      <c r="D12" s="14">
        <v>3000</v>
      </c>
    </row>
    <row r="13" spans="2:4" ht="17.5" x14ac:dyDescent="0.45">
      <c r="B13" s="42" t="s">
        <v>11</v>
      </c>
      <c r="C13" s="43"/>
      <c r="D13" s="15">
        <v>8.9999999999999993E-3</v>
      </c>
    </row>
    <row r="14" spans="2:4" ht="18" thickBot="1" x14ac:dyDescent="0.5">
      <c r="B14" s="44" t="s">
        <v>34</v>
      </c>
      <c r="C14" s="45"/>
      <c r="D14" s="16">
        <f>salario*30%</f>
        <v>900</v>
      </c>
    </row>
    <row r="15" spans="2:4" ht="15" thickBot="1" x14ac:dyDescent="0.4"/>
    <row r="16" spans="2:4" ht="32" customHeight="1" x14ac:dyDescent="0.35">
      <c r="B16" s="49" t="s">
        <v>14</v>
      </c>
      <c r="C16" s="50"/>
      <c r="D16" s="55"/>
    </row>
    <row r="17" spans="1:7" ht="17.5" x14ac:dyDescent="0.45">
      <c r="B17" s="40" t="s">
        <v>0</v>
      </c>
      <c r="C17" s="41"/>
      <c r="D17" s="17">
        <v>500</v>
      </c>
    </row>
    <row r="18" spans="1:7" ht="17.5" x14ac:dyDescent="0.45">
      <c r="B18" s="42" t="s">
        <v>1</v>
      </c>
      <c r="C18" s="43"/>
      <c r="D18" s="18">
        <v>10</v>
      </c>
    </row>
    <row r="19" spans="1:7" ht="17.5" x14ac:dyDescent="0.45">
      <c r="B19" s="42" t="s">
        <v>2</v>
      </c>
      <c r="C19" s="43"/>
      <c r="D19" s="19">
        <v>1.0789999999999999E-2</v>
      </c>
    </row>
    <row r="20" spans="1:7" ht="17.5" x14ac:dyDescent="0.45">
      <c r="B20" s="51" t="s">
        <v>13</v>
      </c>
      <c r="C20" s="52"/>
      <c r="D20" s="20">
        <f>FV(taxa_mensal,qtd_anos*12,aporte*-1)</f>
        <v>121642.1062650861</v>
      </c>
      <c r="F20" s="1"/>
      <c r="G20" s="1"/>
    </row>
    <row r="21" spans="1:7" ht="18" thickBot="1" x14ac:dyDescent="0.5">
      <c r="B21" s="53" t="s">
        <v>3</v>
      </c>
      <c r="C21" s="54"/>
      <c r="D21" s="21">
        <f>patrimonio*rendimento_carteira</f>
        <v>1094.7789563857748</v>
      </c>
      <c r="G21" s="1"/>
    </row>
    <row r="22" spans="1:7" ht="15" thickBot="1" x14ac:dyDescent="0.4"/>
    <row r="23" spans="1:7" ht="29" x14ac:dyDescent="0.35">
      <c r="B23" s="49" t="s">
        <v>9</v>
      </c>
      <c r="C23" s="50"/>
      <c r="D23" s="4" t="s">
        <v>10</v>
      </c>
    </row>
    <row r="24" spans="1:7" ht="17.5" x14ac:dyDescent="0.45">
      <c r="A24" s="2">
        <v>2</v>
      </c>
      <c r="B24" s="5" t="s">
        <v>4</v>
      </c>
      <c r="C24" s="6">
        <f>FV($D$19,$A24*12,$D$17*-1)</f>
        <v>13613.813648822608</v>
      </c>
      <c r="D24" s="7">
        <f>C24*rendimento_carteira</f>
        <v>122.52432283940347</v>
      </c>
    </row>
    <row r="25" spans="1:7" ht="17.5" x14ac:dyDescent="0.45">
      <c r="A25" s="2">
        <v>5</v>
      </c>
      <c r="B25" s="8" t="s">
        <v>5</v>
      </c>
      <c r="C25" s="9">
        <f>FV($D$19,$A25*12,$D$17*-1)</f>
        <v>41888.456999243819</v>
      </c>
      <c r="D25" s="10">
        <f>C25*rendimento_carteira</f>
        <v>376.99611299319434</v>
      </c>
    </row>
    <row r="26" spans="1:7" ht="17.5" x14ac:dyDescent="0.45">
      <c r="A26" s="2">
        <v>10</v>
      </c>
      <c r="B26" s="8" t="s">
        <v>7</v>
      </c>
      <c r="C26" s="9">
        <f>FV($D$19,$A26*12,$D$17*-1)</f>
        <v>121642.1062650861</v>
      </c>
      <c r="D26" s="10">
        <f>C26*rendimento_carteira</f>
        <v>1094.7789563857748</v>
      </c>
    </row>
    <row r="27" spans="1:7" ht="17.5" x14ac:dyDescent="0.45">
      <c r="A27" s="2">
        <v>20</v>
      </c>
      <c r="B27" s="8" t="s">
        <v>6</v>
      </c>
      <c r="C27" s="9">
        <f>FV($D$19,$A27*12,$D$17*-1)</f>
        <v>562599.20004854025</v>
      </c>
      <c r="D27" s="10">
        <f>C27*rendimento_carteira</f>
        <v>5063.3928004368618</v>
      </c>
    </row>
    <row r="28" spans="1:7" ht="18" thickBot="1" x14ac:dyDescent="0.5">
      <c r="A28" s="2">
        <v>30</v>
      </c>
      <c r="B28" s="11" t="s">
        <v>8</v>
      </c>
      <c r="C28" s="12">
        <f>FV($D$19,$A28*12,$D$17*-1)</f>
        <v>2161084.8275023573</v>
      </c>
      <c r="D28" s="13">
        <f>C28*rendimento_carteira</f>
        <v>19449.763447521214</v>
      </c>
    </row>
    <row r="32" spans="1:7" x14ac:dyDescent="0.35">
      <c r="B32" s="27" t="s">
        <v>18</v>
      </c>
      <c r="C32" s="28" t="s">
        <v>30</v>
      </c>
      <c r="D32" s="22"/>
    </row>
    <row r="33" spans="2:4" x14ac:dyDescent="0.35">
      <c r="B33" s="24" t="s">
        <v>17</v>
      </c>
      <c r="C33" s="25">
        <f>aporte</f>
        <v>500</v>
      </c>
      <c r="D33" s="23"/>
    </row>
    <row r="35" spans="2:4" x14ac:dyDescent="0.35">
      <c r="B35" s="29" t="s">
        <v>19</v>
      </c>
      <c r="C35" s="29" t="s">
        <v>20</v>
      </c>
      <c r="D35" s="29" t="s">
        <v>21</v>
      </c>
    </row>
    <row r="36" spans="2:4" x14ac:dyDescent="0.35">
      <c r="B36" s="3" t="s">
        <v>22</v>
      </c>
      <c r="C36" s="26">
        <f>VLOOKUP($C$32&amp;"-"&amp;B36,'Planilha Chave'!$A:$D,4,FALSE)</f>
        <v>0.32</v>
      </c>
      <c r="D36" s="32">
        <f>C36*$C$33</f>
        <v>160</v>
      </c>
    </row>
    <row r="37" spans="2:4" x14ac:dyDescent="0.35">
      <c r="B37" s="3" t="s">
        <v>23</v>
      </c>
      <c r="C37" s="26">
        <f>VLOOKUP($C$32&amp;"-"&amp;B37,'Planilha Chave'!$A:$D,4,FALSE)</f>
        <v>0.4</v>
      </c>
      <c r="D37" s="32">
        <f t="shared" ref="D37:D41" si="0">C37*$C$33</f>
        <v>200</v>
      </c>
    </row>
    <row r="38" spans="2:4" x14ac:dyDescent="0.35">
      <c r="B38" s="3" t="s">
        <v>24</v>
      </c>
      <c r="C38" s="26">
        <f>VLOOKUP($C$32&amp;"-"&amp;B38,'Planilha Chave'!$A:$D,4,FALSE)</f>
        <v>0.08</v>
      </c>
      <c r="D38" s="32">
        <f t="shared" si="0"/>
        <v>40</v>
      </c>
    </row>
    <row r="39" spans="2:4" x14ac:dyDescent="0.35">
      <c r="B39" s="3" t="s">
        <v>25</v>
      </c>
      <c r="C39" s="26">
        <f>VLOOKUP($C$32&amp;"-"&amp;B39,'Planilha Chave'!$A:$D,4,FALSE)</f>
        <v>0.1</v>
      </c>
      <c r="D39" s="32">
        <f t="shared" si="0"/>
        <v>50</v>
      </c>
    </row>
    <row r="40" spans="2:4" x14ac:dyDescent="0.35">
      <c r="B40" s="3" t="s">
        <v>26</v>
      </c>
      <c r="C40" s="26">
        <f>VLOOKUP($C$32&amp;"-"&amp;B40,'Planilha Chave'!$A:$D,4,FALSE)</f>
        <v>0.05</v>
      </c>
      <c r="D40" s="32">
        <f t="shared" si="0"/>
        <v>25</v>
      </c>
    </row>
    <row r="41" spans="2:4" x14ac:dyDescent="0.35">
      <c r="B41" s="3" t="s">
        <v>27</v>
      </c>
      <c r="C41" s="26">
        <f>VLOOKUP($C$32&amp;"-"&amp;B41,'Planilha Chave'!$A:$D,4,FALSE)</f>
        <v>0.05</v>
      </c>
      <c r="D41" s="32">
        <f t="shared" si="0"/>
        <v>25</v>
      </c>
    </row>
    <row r="42" spans="2:4" x14ac:dyDescent="0.35">
      <c r="B42" s="30" t="s">
        <v>28</v>
      </c>
      <c r="C42" s="30"/>
      <c r="D42" s="31">
        <f>SUM(D36:D41)</f>
        <v>500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</sheetData>
  <mergeCells count="11"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  <mergeCell ref="B16:D16"/>
  </mergeCells>
  <dataValidations count="1">
    <dataValidation type="list" allowBlank="1" showInputMessage="1" showErrorMessage="1" sqref="C32" xr:uid="{A1B5CFD0-E2AE-4A02-8905-BC7BCD8F26AA}">
      <formula1>"Consevador,Moderado,Agressivo"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BF68-DC58-49BF-91DA-42873AF7932F}">
  <dimension ref="A2:H20"/>
  <sheetViews>
    <sheetView workbookViewId="0">
      <selection activeCell="G10" sqref="G10"/>
    </sheetView>
  </sheetViews>
  <sheetFormatPr defaultRowHeight="14.5" x14ac:dyDescent="0.35"/>
  <cols>
    <col min="1" max="1" width="25.08984375" customWidth="1"/>
    <col min="3" max="3" width="17.453125" bestFit="1" customWidth="1"/>
    <col min="7" max="7" width="15.26953125" bestFit="1" customWidth="1"/>
  </cols>
  <sheetData>
    <row r="2" spans="1:8" x14ac:dyDescent="0.35">
      <c r="A2" s="38" t="s">
        <v>31</v>
      </c>
      <c r="B2" s="38" t="s">
        <v>18</v>
      </c>
      <c r="C2" s="39" t="s">
        <v>19</v>
      </c>
      <c r="D2" s="39" t="s">
        <v>29</v>
      </c>
    </row>
    <row r="3" spans="1:8" x14ac:dyDescent="0.35">
      <c r="A3" t="str">
        <f>B3&amp;"-"&amp;C3</f>
        <v>Consevador-PAPEL</v>
      </c>
      <c r="B3" t="s">
        <v>16</v>
      </c>
      <c r="C3" s="3" t="s">
        <v>22</v>
      </c>
      <c r="D3" s="35">
        <v>0.3</v>
      </c>
      <c r="E3" s="1"/>
      <c r="H3" t="s">
        <v>29</v>
      </c>
    </row>
    <row r="4" spans="1:8" x14ac:dyDescent="0.35">
      <c r="A4" t="str">
        <f t="shared" ref="A4:A20" si="0">B4&amp;"-"&amp;C4</f>
        <v>Consevador-TIJOLO</v>
      </c>
      <c r="B4" t="s">
        <v>16</v>
      </c>
      <c r="C4" s="3" t="s">
        <v>23</v>
      </c>
      <c r="D4" s="35">
        <v>0.5</v>
      </c>
      <c r="E4" s="1"/>
      <c r="G4" s="22" t="s">
        <v>33</v>
      </c>
      <c r="H4" s="37">
        <f>VLOOKUP(G4,$A:$D,4,FALSE)</f>
        <v>0.4</v>
      </c>
    </row>
    <row r="5" spans="1:8" x14ac:dyDescent="0.35">
      <c r="A5" t="str">
        <f t="shared" si="0"/>
        <v>Consevador-HÍBRIDOS</v>
      </c>
      <c r="B5" t="s">
        <v>16</v>
      </c>
      <c r="C5" s="3" t="s">
        <v>24</v>
      </c>
      <c r="D5" s="35">
        <v>0.1</v>
      </c>
      <c r="E5" s="1"/>
    </row>
    <row r="6" spans="1:8" x14ac:dyDescent="0.35">
      <c r="A6" t="str">
        <f t="shared" si="0"/>
        <v>Consevador-FOFIS</v>
      </c>
      <c r="B6" t="s">
        <v>16</v>
      </c>
      <c r="C6" s="3" t="s">
        <v>25</v>
      </c>
      <c r="D6" s="35">
        <v>0.1</v>
      </c>
      <c r="E6" s="1"/>
    </row>
    <row r="7" spans="1:8" x14ac:dyDescent="0.35">
      <c r="A7" t="str">
        <f t="shared" si="0"/>
        <v>Consevador-DESENVOLVIMENTO</v>
      </c>
      <c r="B7" t="s">
        <v>16</v>
      </c>
      <c r="C7" s="3" t="s">
        <v>26</v>
      </c>
      <c r="D7" s="35">
        <v>0</v>
      </c>
      <c r="E7" s="1"/>
    </row>
    <row r="8" spans="1:8" ht="15" thickBot="1" x14ac:dyDescent="0.4">
      <c r="A8" s="33" t="str">
        <f t="shared" si="0"/>
        <v>Consevador-HOTELARIAS</v>
      </c>
      <c r="B8" s="33" t="s">
        <v>16</v>
      </c>
      <c r="C8" s="34" t="s">
        <v>27</v>
      </c>
      <c r="D8" s="36">
        <v>0</v>
      </c>
      <c r="E8" s="1"/>
    </row>
    <row r="9" spans="1:8" x14ac:dyDescent="0.35">
      <c r="A9" t="str">
        <f t="shared" si="0"/>
        <v>Moderado-PAPEL</v>
      </c>
      <c r="B9" t="s">
        <v>30</v>
      </c>
      <c r="C9" s="3" t="s">
        <v>22</v>
      </c>
      <c r="D9" s="35">
        <v>0.32</v>
      </c>
    </row>
    <row r="10" spans="1:8" x14ac:dyDescent="0.35">
      <c r="A10" t="str">
        <f t="shared" si="0"/>
        <v>Moderado-TIJOLO</v>
      </c>
      <c r="B10" t="s">
        <v>30</v>
      </c>
      <c r="C10" s="3" t="s">
        <v>23</v>
      </c>
      <c r="D10" s="35">
        <v>0.4</v>
      </c>
    </row>
    <row r="11" spans="1:8" x14ac:dyDescent="0.35">
      <c r="A11" t="str">
        <f t="shared" si="0"/>
        <v>Moderado-HÍBRIDOS</v>
      </c>
      <c r="B11" t="s">
        <v>30</v>
      </c>
      <c r="C11" s="3" t="s">
        <v>24</v>
      </c>
      <c r="D11" s="35">
        <v>0.08</v>
      </c>
    </row>
    <row r="12" spans="1:8" x14ac:dyDescent="0.35">
      <c r="A12" t="str">
        <f t="shared" si="0"/>
        <v>Moderado-FOFIS</v>
      </c>
      <c r="B12" t="s">
        <v>30</v>
      </c>
      <c r="C12" s="3" t="s">
        <v>25</v>
      </c>
      <c r="D12" s="35">
        <v>0.1</v>
      </c>
    </row>
    <row r="13" spans="1:8" x14ac:dyDescent="0.35">
      <c r="A13" t="str">
        <f t="shared" si="0"/>
        <v>Moderado-DESENVOLVIMENTO</v>
      </c>
      <c r="B13" t="s">
        <v>30</v>
      </c>
      <c r="C13" s="3" t="s">
        <v>26</v>
      </c>
      <c r="D13" s="35">
        <v>0.05</v>
      </c>
    </row>
    <row r="14" spans="1:8" ht="15" thickBot="1" x14ac:dyDescent="0.4">
      <c r="A14" s="33" t="str">
        <f t="shared" si="0"/>
        <v>Moderado-HOTELARIAS</v>
      </c>
      <c r="B14" s="33" t="s">
        <v>30</v>
      </c>
      <c r="C14" s="34" t="s">
        <v>27</v>
      </c>
      <c r="D14" s="36">
        <v>0.05</v>
      </c>
    </row>
    <row r="15" spans="1:8" x14ac:dyDescent="0.35">
      <c r="A15" t="str">
        <f t="shared" si="0"/>
        <v>Agressivo-PAPEL</v>
      </c>
      <c r="B15" t="s">
        <v>32</v>
      </c>
      <c r="C15" s="3" t="s">
        <v>22</v>
      </c>
      <c r="D15" s="35">
        <v>0.5</v>
      </c>
    </row>
    <row r="16" spans="1:8" x14ac:dyDescent="0.35">
      <c r="A16" t="str">
        <f t="shared" si="0"/>
        <v>Agressivo-TIJOLO</v>
      </c>
      <c r="B16" t="s">
        <v>32</v>
      </c>
      <c r="C16" s="3" t="s">
        <v>23</v>
      </c>
      <c r="D16" s="35">
        <v>0.1</v>
      </c>
    </row>
    <row r="17" spans="1:4" x14ac:dyDescent="0.35">
      <c r="A17" t="str">
        <f t="shared" si="0"/>
        <v>Agressivo-HÍBRIDOS</v>
      </c>
      <c r="B17" t="s">
        <v>32</v>
      </c>
      <c r="C17" s="3" t="s">
        <v>24</v>
      </c>
      <c r="D17" s="35">
        <v>0.05</v>
      </c>
    </row>
    <row r="18" spans="1:4" x14ac:dyDescent="0.35">
      <c r="A18" t="str">
        <f t="shared" si="0"/>
        <v>Agressivo-FOFIS</v>
      </c>
      <c r="B18" t="s">
        <v>32</v>
      </c>
      <c r="C18" s="3" t="s">
        <v>25</v>
      </c>
      <c r="D18" s="35">
        <v>0.05</v>
      </c>
    </row>
    <row r="19" spans="1:4" x14ac:dyDescent="0.35">
      <c r="A19" t="str">
        <f t="shared" si="0"/>
        <v>Agressivo-DESENVOLVIMENTO</v>
      </c>
      <c r="B19" t="s">
        <v>32</v>
      </c>
      <c r="C19" s="3" t="s">
        <v>26</v>
      </c>
      <c r="D19" s="35">
        <v>0.2</v>
      </c>
    </row>
    <row r="20" spans="1:4" x14ac:dyDescent="0.35">
      <c r="A20" t="str">
        <f t="shared" si="0"/>
        <v>Agressivo-HOTELARIAS</v>
      </c>
      <c r="B20" t="s">
        <v>32</v>
      </c>
      <c r="C20" s="3" t="s">
        <v>27</v>
      </c>
      <c r="D20" s="3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 Chave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G P</dc:creator>
  <cp:lastModifiedBy>DOUGLAS G P</cp:lastModifiedBy>
  <dcterms:created xsi:type="dcterms:W3CDTF">2026-02-09T17:56:08Z</dcterms:created>
  <dcterms:modified xsi:type="dcterms:W3CDTF">2026-02-10T18:59:35Z</dcterms:modified>
</cp:coreProperties>
</file>